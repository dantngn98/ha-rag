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9679e7fd5c466c3e/Documents/Claude/ha-rag/"/>
    </mc:Choice>
  </mc:AlternateContent>
  <xr:revisionPtr revIDLastSave="11" documentId="11_CBC4AA67D21E968D5161D5D6A8F8D80C41DBA05D" xr6:coauthVersionLast="47" xr6:coauthVersionMax="47" xr10:uidLastSave="{BE2A0F37-74BF-435E-971D-12650B0C6140}"/>
  <bookViews>
    <workbookView xWindow="-120" yWindow="-120" windowWidth="38640" windowHeight="21120" tabRatio="500" activeTab="1" xr2:uid="{00000000-000D-0000-FFFF-FFFF00000000}"/>
  </bookViews>
  <sheets>
    <sheet name="Summary" sheetId="1" r:id="rId1"/>
    <sheet name="Results" sheetId="2" r:id="rId2"/>
    <sheet name="Retrieved chunks" sheetId="3" r:id="rId3"/>
    <sheet name="Run config"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B11" i="4" l="1"/>
  <c r="B7" i="4"/>
  <c r="B13" i="1"/>
  <c r="B12" i="1"/>
  <c r="B11" i="1"/>
  <c r="B10" i="1"/>
  <c r="B9" i="1"/>
  <c r="B8" i="1"/>
  <c r="B6" i="1"/>
  <c r="B5" i="1"/>
  <c r="B4" i="1"/>
  <c r="B3" i="1"/>
  <c r="B2" i="1"/>
</calcChain>
</file>

<file path=xl/sharedStrings.xml><?xml version="1.0" encoding="utf-8"?>
<sst xmlns="http://schemas.openxmlformats.org/spreadsheetml/2006/main" count="259" uniqueCount="148">
  <si>
    <t>Retrieval (answerable questions only)</t>
  </si>
  <si>
    <t>Mean precision@4</t>
  </si>
  <si>
    <t>Mean precision ceiling (best possible)</t>
  </si>
  <si>
    <t>Mean recall@4</t>
  </si>
  <si>
    <t>Right file retrieved</t>
  </si>
  <si>
    <t>Answer in retrieved chunks (chunk-level recall)</t>
  </si>
  <si>
    <t>Answers (fill yellow columns on Results)</t>
  </si>
  <si>
    <t>RAG mean correctness (0-2)</t>
  </si>
  <si>
    <t>RAG fully correct (count of 2s)</t>
  </si>
  <si>
    <t>Baseline mean correctness (0-2)</t>
  </si>
  <si>
    <t>Baseline fully correct (count of 2s)</t>
  </si>
  <si>
    <t>RAG unfaithful answers</t>
  </si>
  <si>
    <t>Baseline hallucinations</t>
  </si>
  <si>
    <t>Scoring: correct 2 = fully right, 1 = partially right, 0 = wrong. Faithful = every claim supported by the retrieved chunks. Hallucinated = a confident specific claim that is wrong.</t>
  </si>
  <si>
    <t>ID</t>
  </si>
  <si>
    <t>Question</t>
  </si>
  <si>
    <t>Expected answer</t>
  </si>
  <si>
    <t>RAG answer</t>
  </si>
  <si>
    <t>Baseline answer</t>
  </si>
  <si>
    <t>Retrieved (rank: file p.N)</t>
  </si>
  <si>
    <t>Precision@4</t>
  </si>
  <si>
    <t>Recall@4</t>
  </si>
  <si>
    <t>Precision ceiling</t>
  </si>
  <si>
    <t>RAG latency (s)</t>
  </si>
  <si>
    <t>RAG correct (0/1/2)</t>
  </si>
  <si>
    <t>RAG faithful (Y/N)</t>
  </si>
  <si>
    <t>Baseline correct (0/1/2)</t>
  </si>
  <si>
    <t>Baseline hallucinated (Y/N)</t>
  </si>
  <si>
    <t>Notes</t>
  </si>
  <si>
    <t>Answer in retrieved chunks (Y/N)</t>
  </si>
  <si>
    <t>Q1</t>
  </si>
  <si>
    <t>What is the estimated battery life of the Omega AI+ ITC R with streaming?</t>
  </si>
  <si>
    <t>Up to 36 hrs</t>
  </si>
  <si>
    <t>Up to 36 hours with streaming. [Starkey_Omega_AI__Wireless_Tech_Tiers_ITC_R.pdf, p. 1]</t>
  </si>
  <si>
    <t>The Omega AI+ ITC R is estimated to provide **up to about 24 hours per charge with streaming**. Actual battery life varies with streaming time, volume, and settings.</t>
  </si>
  <si>
    <t>1: Starkey_Omega_AI__Wireless_Tech_Tiers_ITC_R.pdf p.1
2: Starkey_Omega_AI__Wireless_Tech_Tiers_mRIC_R_LED.pdf p.2
3: Starkey_Omega_AI__Wireless_Tech_Tiers_RIC_312.pdf p.1
4: Starkey_Omega_AI__Wireless_Tech_Tiers_ITC_R.pdf p.2</t>
  </si>
  <si>
    <t>Y</t>
  </si>
  <si>
    <t>RAG retrieved the correct document and provided the correct answer. Baseline model cleary halluncinated.</t>
  </si>
  <si>
    <t>Q2</t>
  </si>
  <si>
    <t>How long does the battery last on the Omega AI+ IIC NW?</t>
  </si>
  <si>
    <t>Up to 7 days per 16-hour day on a size 10 zinc-air battery; not rechargeable</t>
  </si>
  <si>
    <t>Not found in the provided documents.</t>
  </si>
  <si>
    <t>The Omega AI+ IIC NW uses a disposable size 10 battery, which typically lasts about **3–5 days**, depending on use and settings.</t>
  </si>
  <si>
    <t>1: Starkey_Omega_AI__Wireless_Tech_Tiers_ITC_R.pdf p.1
2: Starkey_Omega_AI__Non-Wireless_Tech_Tiers_CIC_R_NW.pdf p.1
3: Starkey_Omega_AI__Non-Wireless_Tech_Tiers_IIC_NW.pdf p.1
4: Starkey_Omega_AI__Wireless_Tech_Tiers_mRIC_R_LED.pdf p.2</t>
  </si>
  <si>
    <t>N</t>
  </si>
  <si>
    <t>Q3</t>
  </si>
  <si>
    <t>What is the peak OSPL90 of the Omega AI+ RIC 312 with the P receiver?</t>
  </si>
  <si>
    <t>120 dB SPL</t>
  </si>
  <si>
    <t>The peak OSPL90 with the P receiver is **120 dB SPL**. [Starkey_Omega_AI__Wireless_Tech_Tiers_RIC_312.pdf, p. 2]</t>
  </si>
  <si>
    <t>I don’t know.</t>
  </si>
  <si>
    <t>1: Starkey_Omega_AI__Wireless_Tech_Tiers_RIC_312.pdf p.2
2: Starkey_Omega_AI__Wireless_Tech_Tiers_RIC_312.pdf p.1
3: Starkey_Omega_AI__Wireless_Tech_Tiers_RIC_312.pdf p.2
4: Starkey_Omega_AI__Wireless_Tech_Tiers_RIC_312.pdf p.3</t>
  </si>
  <si>
    <t>Q4</t>
  </si>
  <si>
    <t>Is an UP receiver available for the Omega AI+ mRIC R?</t>
  </si>
  <si>
    <t>Only on the Custom Cased version; standard mRIC R is L, M, P only</t>
  </si>
  <si>
    <t>Yes. The Omega AI+ mRIC R is listed with an UP receiver matrix. [Starkey_Omega_AI__Wireless_Tech_Tiers_mRIC_R_LED.pdf, p. 2]</t>
  </si>
  <si>
    <t>No. The Omega AI+ mRIC R does not support an UP receiver.</t>
  </si>
  <si>
    <t>1: Starkey_Omega_AI__Wireless_Tech_Tiers_mRIC_R_LED.pdf p.2
2: Starkey_Omega_AI__Wireless_Tech_Tiers_mRIC_R_LED.pdf p.3
3: Starkey_Omega_AI__Wireless_Tech_Tiers_mRIC_R_LED.pdf p.1
4: Starkey_Omega_AI__Wireless_Tech_Tiers_mRIC_R_LED.pdf p.3</t>
  </si>
  <si>
    <t>Q5</t>
  </si>
  <si>
    <t>How much wind noise reduction does the Omega AI+ 20 tech tier provide?</t>
  </si>
  <si>
    <t>Up to 19 dB</t>
  </si>
  <si>
    <t>The Omega AI+ 20 tech tier provides up to 19 dB of wind noise reduction [Starkey_Technical_Product_Handbook.pdf, p. 9].</t>
  </si>
  <si>
    <t>Omega AI+ 20 provides up to **16 dB of wind-noise reduction**.</t>
  </si>
  <si>
    <t>1: Starkey_Technical_Product_Handbook.pdf p.9
2: Starkey_Omega_AI__Wireless_Tech_Tiers_ITC_R.pdf p.1
3: Starkey_Technical_Product_Handbook.pdf p.9
4: Starkey_Omega_AI__Wireless_Tech_Tiers_RIC_312.pdf p.2</t>
  </si>
  <si>
    <t>Q6</t>
  </si>
  <si>
    <t>Which charger with an onboard battery fits the Omega AI+ mRIC R, and what is its part number?</t>
  </si>
  <si>
    <t>StarLink Premium Charger 3.0, P00014593</t>
  </si>
  <si>
    <t>The fit is the **mRIC R Premium Charger 2.0**, which has an onboard battery. I don’t know its part number confidently.</t>
  </si>
  <si>
    <t>1: Starkey_Omega_AI__Wireless_Tech_Tiers_mRIC_R_LED.pdf p.1
2: Starkey_Omega_AI__Wireless_Tech_Tiers_mRIC_R_LED.pdf p.2
3: Starkey_Omega_AI__Wireless_Tech_Tiers_mRIC_R_LED.pdf p.2
4: Starkey_Omega_AI__Non-Wireless_Tech_Tiers_CIC_R_NW.pdf p.1</t>
  </si>
  <si>
    <t>Q7</t>
  </si>
  <si>
    <t>Is Respiratory Rate available on Edge AI?</t>
  </si>
  <si>
    <t>No – marked Omega AI only</t>
  </si>
  <si>
    <t>Yes. Respiratory Rate is listed as a feature for Omega AI and Edge AI. [Health_and_Wellness_Feature_Summary.pdf, p. 1]</t>
  </si>
  <si>
    <t>Yes. Edge AI can track respiratory rate through the My Starkey app. Availability may depend on the hearing aid model and app version.</t>
  </si>
  <si>
    <t>1: Starkey_Technical_Product_Handbook.pdf p.17
2: Starkey_Technical_Product_Handbook.pdf p.3
3: Health_and_Wellness_Feature_Summary.pdf p.1
4: Starkey_Technical_Product_Handbook.pdf p.16</t>
  </si>
  <si>
    <t>Q8</t>
  </si>
  <si>
    <t>What does a QuickSIN score above 7 dB indicate?</t>
  </si>
  <si>
    <t>Moderate-to-severe SNR loss</t>
  </si>
  <si>
    <t>A QuickSIN score above 7 dB indicates moderate to severe signal-to-noise ratio (SNR) loss. [Starkey_Technical_Product_Handbook.pdf, p. 16]</t>
  </si>
  <si>
    <t>A QuickSIN SNR loss above 7 dB generally indicates **moderate or greater difficulty understanding speech in noise**. Exact category cutoffs can vary slightly by reference.</t>
  </si>
  <si>
    <t>1: Starkey_Technical_Product_Handbook.pdf p.16
2: Starkey_Technical_Product_Handbook.pdf p.16
3: Starkey_Omega_AI__Wireless_Tech_Tiers_ITC_R.pdf p.1
4: Starkey_Omega_AI__Wireless_Tech_Tiers_mRIC_R_LED.pdf p.3</t>
  </si>
  <si>
    <t>Q9</t>
  </si>
  <si>
    <t>What firmware version is required for Auracast on Omega AI?</t>
  </si>
  <si>
    <t>Not in corpus; system should abstain</t>
  </si>
  <si>
    <t>I don’t know the required firmware version for Auracast on Omega AI. Check the current Starkey Pro Fit release notes or contact Starkey support for the confirmed version.</t>
  </si>
  <si>
    <t>1: LE_Audio_Feature_Summary_-_O.pdf p.1
2: LE_Audio_Feature_Summary_-_O.pdf p.1
3: LE_Audio_Feature_Summary_-_O.pdf p.2
4: LE_Audio_Feature_Summary_-_O.pdf p.2</t>
  </si>
  <si>
    <t>N/A</t>
  </si>
  <si>
    <t>Rank</t>
  </si>
  <si>
    <t>File</t>
  </si>
  <si>
    <t>PDF page</t>
  </si>
  <si>
    <t>Distance</t>
  </si>
  <si>
    <t>Relevant</t>
  </si>
  <si>
    <t>Chunk text</t>
  </si>
  <si>
    <t>Starkey_Omega_AI__Wireless_Tech_Tiers_ITC_R.pdf</t>
  </si>
  <si>
    <t>[Document: Omega AI+ (Omega AI) ITC R In-The-Canal Rechargeable - technical data sheet | page 1]
15
Equivalent Input Noise (dB SPL) 
Expansion Off
25
25
25
25
Harmonic Distortion
500 Hz (%)
&lt;3
&lt;3
&lt;3
&lt;3
800 Hz (%)
&lt;3
&lt;3
&lt;3
&lt;3
1600 Hz (%)
&lt;3
&lt;3
&lt;3
&lt;3
Estimated Lithium-ion 
Battery Life*
Without streaming (hrs)
Up to 42
Up to 42
Up to 42
Up to 42
With streaming (hrs)
Up to 36
Up to 36
Up to 36
Up to 36
Battery Current (mA)
0.9
0.9
0.9
0.9
Battery:  Lithium-ion
L
M
P
UP
10
20
30
40
50
60
70
60
70
80
90
100
110
120
100 
1000 
10000 
10
20
30
40
50
60
70
60
70
80
90
100
110
120
100 
1000 
10000 
20
30
40
50
60
70
80
60
70
80
90
100
110
120
100 
1000 
10000 
30
40
50
60
70
80
90
70
80
90
100
110
120
130
100 
1000 
10000 
L
M
P
UP
©2026 Starkey Laboratories, Inc. All Rights Reserved.  6/26  SPEC3141-00-EN-ST
Starkey, Omega, and StarLink are trademarks of Starkey Laboratories, Inc.</t>
  </si>
  <si>
    <t>Starkey_Omega_AI__Wireless_Tech_Tiers_mRIC_R_LED.pdf</t>
  </si>
  <si>
    <t>[Document: Omega AI+ (Omega AI) mRIC R micro Receiver-In-Canal Rechargeable - technical data sheet | page 2]
115
122
Peak Gain (dB)
42
50
60
66
HFA Full-On Gain (dB)
35
47
55
63
Frequency Range (Hz)
&lt;100-9400
&lt;100-9500
&lt;100-9200
&lt;100-5800
HFA Frequencies (kHz)
1.0,1.6,2.5
1.0,1.6,2.5
1.0,1.6,2.5
1.0,1.6,2.5
Reference Test Gain (dB)
24
36
38
45
Equivalent Input Noise (dB SPL) 
Expansion On (Default)
15
15
15
15
Equivalent Input Noise (dB SPL) 
Expansion Off
24
24
24
24
Harmonic Distortion
500 Hz (%)
&lt;3
&lt;3
&lt;3
&lt;3
800 Hz (%)
&lt;3
&lt;3
&lt;3
&lt;3
1600 Hz (%)
&lt;3
&lt;3
&lt;3
&lt;3
Estimated Lithium-ion 
Battery Life*
Without streaming (hrs)
Up to 41
Up to 41
Up to 41
Up to 41
With streaming (hrs)
Up to 33
Up to 33
Up to 33
Up to 33
Battery Current (mA)
0.5
0.5
0.6
0.6
Battery:  Lithium-ion
Starkey | Technical Data
mRIC R
0
10
20
30
40
50
60
70
80
90
100
110
250
500
1K
2K
8K
4K
L
M
P
UP
CUSTOM
L
M
P
UP</t>
  </si>
  <si>
    <t>Starkey_Omega_AI__Wireless_Tech_Tiers_RIC_312.pdf</t>
  </si>
  <si>
    <t>[Document: Omega AI+ (Omega AI) RIC 312 Receiver-In-Canal - technical data sheet | page 1]
Expansion Off
24
24
24
Harmonic Distortion
500 Hz (%)
&lt;3
&lt;3
&lt;3
800 Hz (%)
&lt;3
&lt;3
&lt;3
1600 Hz (%)
&lt;3
&lt;3
&lt;3
Induction Coil Sensitivity
HFA SPLITS (ANSI) (dB SPL)
N/A
N/A
N/A
MASL (IEC) (dB SPL)
N/A
N/A
N/A
Estimated Battery Life for 
16-Hour Day
Without streaming (days)
Up to 6
Up to 6
Up to 6
With streaming (days)
Up to 5
Up to 5
Up to 5
Battery Current (mA)
1.5
1.6
1.6
0
10
20
30
40
50
60
70
80
90
100
110
250
500
1K
2K
8K
4K
L
M
P
Battery Size: 312
10
20
30
40
50
60
70
60
70
80
90
100
110
120
100 
1000 
10000 
10
20
30
40
50
60
70
60
70
80
90
100
110
120
100 
1000 
10000 
30
40
50
60
70
80
90
70
80
90
100
110
120
130
100 
1000 
10000 
M
L
P
Hearing Level in dB (HL)
Frequency (Hz)
Fitting Range
Color Guide
Standard Colors
Caramel
Graphite Gray
Silver
Beige
White
Tech Black
Chestnut</t>
  </si>
  <si>
    <t>[Document: Omega AI+ (Omega AI) ITC R In-The-Canal Rechargeable - technical data sheet | page 2]
Omega AI+ 24 | 20 | 16
Latency (ms)
4.3
Attack Time (ms)
3
Release Time (ms)
60
2000 Hz
140
130
120
110
100
90
80
70
60
40
50
60
70
80
90
100
2000 Hz
140
130
120
110
100
90
80
70
60
40
50
60
70
80
90
100
2000 Hz
140
130
120
110
100
90
80
70
60
40
50
60
70
80
90
100
2000 Hz
140
130
120
110
100
90
80
70
60
40
50
60
70
80
90
100
M
P
UP
L
©2026 Starkey Laboratories, Inc. All Rights Reserved.  6/26  SPEC3141-00-EN-ST
Starkey, Omega, and StarLink are trademarks of Starkey Laboratories, Inc.
In-The-Canal
Starkey | Technical Data
ITC R
Rechargeable
Input (dB SPL)
Output (dB SPL)
Input (dB SPL)
Input (dB SPL)
Output (dB SPL)
Output (dB SPL)
Input (dB SPL)
Output (dB SPL)</t>
  </si>
  <si>
    <t>Starkey_Omega_AI__Non-Wireless_Tech_Tiers_CIC_R_NW.pdf</t>
  </si>
  <si>
    <t>[Document: Omega AI+ (Omega AI) CIC R NW Completely-In-Canal Rechargeable Non-Wireless - technical data sheet | page 1]
©2026 Starkey Laboratories, Inc. All Rights Reserved.  6/26  SPEC3133-00-EN-ST
Starkey, StarLink, and Omega are trademarks of Starkey Laboratories, Inc. 
Omega AI+ 24 | 20 | 16
Matrices: L, M, P, UP
Starkey | Technical Data
CIC R NW
Battery: Lithium-ion
L
M
P
UP
0
10
20
30
40
50
60
70
80
90
100
110
250
500
1K
2K
8K
4K
L
M
P
UP
Measurement
ANSI/IEC 2cc 
Coupler
ANSI/IEC 2cc 
Coupler
ANSI/IEC 2cc 
Coupler
ANSI/IEC 2cc 
Coupler
Peak OSPL90 (dB SPL)
110
114
117
125
HFA OSPL90 (dB SPL)
105
110
113
122
Peak Gain (dB)
40
49
59
67
HFA Full-On Gain (dB)
36
47
53
62
Frequency Range (Hz)
&lt;100-9400
&lt;100-8500
&lt;100-6600
&lt;100-5500
HFA Frequencies (kHz)
1.0,1.6,2.5
1.0,1.6,2.5
1.0,1.6,2.5
1.0,1.6,2.5
Reference Test Gain (dB)
28
33
36
45
Equivalent Input Noise (dB SPL) 
Expansion On (Default)
25
25
25
25</t>
  </si>
  <si>
    <t>Starkey_Omega_AI__Non-Wireless_Tech_Tiers_IIC_NW.pdf</t>
  </si>
  <si>
    <t>[Document: Omega AI+ (Omega AI) IIC NW Invisible-In-Canal Non-Wireless - technical data sheet | page 1]
©2026 Starkey Laboratories, Inc. All Rights Reserved.  6/26  SPEC3135-00-EN-ST
Starkey and Omega are trademarks of Starkey Laboratories, Inc.
Omega AI+ 24
Invisible-In-Canal
Starkey | Technical Data
IIC NW
Matrices: L-, L, M
Battery Size: 10
L-
L
M
Measurement
ANSI/IEC 2cc Coupler
ANSI/IEC 2cc Coupler
ANSI/IEC 2cc Coupler
Peak OSPL90 (dB SPL)
110
110
115
HFA OSPL90 (dB SPL)
104
105
110
Peak Gain (dB)
36
41
49
HFA Full-On Gain (dB)
30
36
46
Frequency Range (Hz)
&lt;100-9400
&lt;100-9400
&lt;100-8660
HFA Frequencies (kHz)
1.0,1.6,2.5
1.0,1.6,2.5
1.0,1.6,2.5
Reference Test Gain (dB)
27
28
33
Equivalent Input Noise (dB SPL) 
Expansion Off
25
25
25
Equivalent Input Noise (dB SPL) 
Expansion On (Default)
14
14
14
Harmonic Distortion
500 Hz (%)
&lt;3
&lt;3
&lt;3
800 Hz (%)
&lt;3
&lt;3
&lt;3
1600 Hz (%)
&lt;3
&lt;3
&lt;3</t>
  </si>
  <si>
    <t>[Document: Omega AI+ (Omega AI) RIC 312 Receiver-In-Canal - technical data sheet | page 2]
with embedded sensors and artifical 
intelligence
•  Compatible with StarLink 2.0 
accessories and StarLink Edge 
accessories
Fitting Range
Hearing Level in dB (HL)
Frequency (Hz)</t>
  </si>
  <si>
    <t>[Document: Omega AI+ (Omega AI) RIC 312 Receiver-In-Canal - technical data sheet | page 1]
©2026 Starkey Laboratories, Inc. All Rights Reserved.  6/26  SPEC3139-00-EN-ST
Starkey, Omega, and StarLink are trademarks of Starkey Laboratories, Inc.
L
M
P
Omega AI+ 24 | 20 | 16
Receiver-In-Canal
Starkey | Technical Data
RIC 312
Matrices: L, M, P
Measurement
ANSI/IEC 2cc Coupler
ANSI/IEC 2cc Coupler
ANSI/IEC 2cc Coupler
Peak OSPL90 (dB SPL)
107
117
120
HFA OSPL90 (dB SPL)
101
113
116
Peak Gain (dB)
43
49
60
HFA Full-On Gain (dB)
36
47
56
Frequency Range (Hz)
&lt;100-9400
&lt;100-9400
&lt;100-9400
HFA Frequencies (kHz)
1.0, 1.6, 2.5
N/A
1.0, 1.6, 2.5
Reference Test Gain (dB)
24
36
39
Equivalent Input Noise (dB SPL) 
Expansion On (Default)
15
15
15
Equivalent Input Noise (dB SPL) 
Expansion Off
24
24
24
Harmonic Distortion
500 Hz (%)
&lt;3
&lt;3
&lt;3
800 Hz (%)
&lt;3
&lt;3
&lt;3
1600 Hz (%)
&lt;3
&lt;3
&lt;3</t>
  </si>
  <si>
    <t>[Document: Omega AI+ (Omega AI) RIC 312 Receiver-In-Canal - technical data sheet | page 2]
©2026 Starkey Laboratories, Inc. All Rights Reserved.  6/26  SPEC3139-00-EN-ST
Starkey, Omega, and StarLink are trademarks of Starkey Laboratories, Inc.
FOG 50 (dB)
FOG 50 (dB)
FOG 50 (dB)
FOG 50 (dB)
 OSPL90 (dBSPL)
 OSPL90 (dBSPL)
 OSPL90 (dBSPL)
 OSPL90 (dBSPL)
 Frequency (Hz)
 Frequency (Hz)
 Frequency (Hz)
 Frequency (Hz)
 FOG 50
 FOG 50
 FOG 50
 FOG 50
 OSPL90 
 OSPL90 
 OSPL90 
 OSPL90 
Omega AI+ 24 | 20 | 16
Receiver-In-Canal
Starkey | Technical Data
RIC 312
Matrices: L, M, P, UP
L
M
P
UP
Measurement
ANSI/IEC 2cc 
Coupler
ANSI/IEC 2cc 
Coupler
ANSI/IEC 2cc 
Coupler
ANSI/IEC 2cc 
Coupler
Peak OSPL90 (dB SPL)
107
117
120
125
HFA OSPL90 (dB SPL)
101
113
116
122
Peak Gain (dB)
43
49
60
67
HFA Full-On Gain (dB)
36
47
56
64
Frequency Range (Hz)
&lt;100-9400
&lt;100-9400
&lt;100-9400
&lt;100-5800</t>
  </si>
  <si>
    <t>[Document: Omega AI+ (Omega AI) RIC 312 Receiver-In-Canal - technical data sheet | page 3]
70
60
40
50
60
70
80
90
100
2000 Hz
140
130
120
110
100
90
80
70
60
40
50
60
70
80
90
100
M
M
P
P
UP
L
L
CUSTOM
CASED
Input (dB SPL)
Input (dB SPL)
Input (dB SPL)
Input (dB SPL)
Input (dB SPL)
Input (dB SPL)
Input (dB SPL)
Output (dB SPL)
Output (dB SPL)
Output (dB SPL)
Output (dB SPL)
Output (dB SPL)
Output (dB SPL)
Output (dB SPL)</t>
  </si>
  <si>
    <t>[Document: Omega AI+ (Omega AI) mRIC R micro Receiver-In-Canal Rechargeable - technical data sheet | page 2]
* Results will vary based on wireless usage.
©2026 Starkey Laboratories, Inc. All Rights Reserved.  6/26  SPEC3137-00-EN-ST
Starkey, Starkey Omega, and StarLink are trademarks of Starkey Laboratories, Inc.
20
30
40
50
60
70
80
70
80
90
100
110
120
130
100 
1000 
10000 
20
30
40
50
60
70
80
70
80
90
100
110
120
130
100 
1000 
10000 
20
30
40
50
60
70
80
70
80
90
100
110
120
130
100 
1000 
10000 
10
20
30
40
50
60
70
60
70
80
90
100
110
120
100 
1000 
10000 
Omega AI+ 24 | 20 | 16
Matrices: L, M, P, UP
L
M
P
UP
Measurement
ANSI/IEC 2cc 
Coupler
ANSI/IEC 2cc 
Coupler
ANSI/IEC 2cc 
Coupler
ANSI/IEC 2cc 
Coupler
Peak OSPL90 (dB SPL)
107
117
119
125
HFA OSPL90 (dB SPL)
101
113
115
122
Peak Gain (dB)
42
50
60
66
HFA Full-On Gain (dB)
35
47
55
63
Frequency Range (Hz)
&lt;100-9400
&lt;100-9500
&lt;100-9200</t>
  </si>
  <si>
    <t>[Document: Omega AI+ (Omega AI) mRIC R micro Receiver-In-Canal Rechargeable - technical data sheet | page 3]
60
Omega AI+ 24 | 20 | 16
Starkey | Technical Data
mRIC R
Starkey | Technical Data
mRIC R
2000 Hz
140
130
120
110
100
90
80
70
60
40
50
60
70
80
90
100
2000 Hz
140
130
120
110
100
90
80
70
60
40
50
60
70
80
90
100
2000 Hz
140
130
120
110
100
90
80
70
60
40
50
60
70
80
90
100
L
M
P
micro Receiver-In-Canal 
Rechargeable
micro Receiver-In-Canal 
Rechargeable
CUSTOM
CASED</t>
  </si>
  <si>
    <t>[Document: Omega AI+ (Omega AI) mRIC R micro Receiver-In-Canal Rechargeable - technical data sheet | page 1]
* Results will vary based on wireless usage.
©2026 Starkey Laboratories, Inc. All Rights Reserved.  6/26  SPEC3137-00-EN-ST
Starkey, Starkey Omega, and StarLink are trademarks of Starkey Laboratories, Inc.
20
30
40
50
60
70
80
70
80
90
100
110
120
130
100 
1000 
10000 
20
30
40
50
60
70
80
70
80
90
100
110
120
130
100 
1000 
10000 
10
20
30
40
50
60
70
60
70
80
90
100
110
120
100 
1000 
10000 
Omega AI+ 24 | 20 | 16
Matrices: L, M, P
L
M
P
Battery:  Lithium-ion
micro Receiver-In-Canal 
Starkey | Technical Data
mRIC R
Measurement
ANSI/IEC 2cc Coupler
ANSI/IEC 2cc Coupler
ANSI/IEC 2cc Coupler
Peak OSPL90 (dB SPL)
107
117
119
HFA OSPL90 (dB SPL)
101
113
115
Peak Gain (dB)
42
50
60
HFA Full-On Gain (dB)
35
47
55
Frequency Range (Hz)
&lt;100-9400
&lt;100-9500
&lt;100-9200
HFA Frequencies (kHz)</t>
  </si>
  <si>
    <t>[Document: Omega AI+ (Omega AI) mRIC R micro Receiver-In-Canal Rechargeable - technical data sheet | page 3]
©2026 Starkey Laboratories, Inc. All Rights Reserved.  6/26  SPEC3137-00-EN-ST
Starkey, Starkey Omega, and StarLink are trademarks of Starkey Laboratories, Inc.
Input (dB SPL)
Input (dB SPL)
Input (dB SPL)
Input (dB SPL)
Input (dB SPL)
Input (dB SPL)
Input (dB SPL)
Output (dB SPL)
Output (dB SPL)
Output (dB SPL)
Output (dB SPL)
Output (dB SPL)
Output (dB SPL)
Output (dB SPL)
2000 Hz
140
130
120
110
100
90
80
70
60
40
50
60
70
80
90
100
2000 Hz
140
130
120
110
100
90
80
70
60
40
50
60
70
80
90
100
2000 Hz
140
130
120
110
100
90
80
70
60
40
50
60
70
80
90
100
2000 Hz
140
130
120
110
100
90
80
70
60
40
50
60
70
80
90
100
L
M
P
UP
Latency (ms)
4.3
Attack Time (ms)
3
Release Time (ms)
60
Omega AI+ 24 | 20 | 16
Starkey | Technical Data
mRIC R
Starkey | Technical Data
mRIC R
2000 Hz
140
130
120</t>
  </si>
  <si>
    <t>Starkey_Technical_Product_Handbook.pdf</t>
  </si>
  <si>
    <t>[Document: Starkey Technical Product Handbook, Fall 2026 (Omega AI+) | page 9]
Transient Noise Reduction
Up to 15 dB of reduction
Up to 9 dB of reduction
Up to 6 dB of reduction
Wind Reduction
Up to 35 dB of reduction
Up to 19 dB of reduction
Up to 10 dB of reduction
Additional Key Features
 Gen AI Smart Assistant &amp; TeleHear AI 
Translate
 Push-to-talk
INDUSTRY-FIRST
  Hearing aids left behind 
Transcribe
Multiflex Tinnitus Pro 
Auracast™ assistant
Google™ Fast Pair
Smart Assistant &amp; 2-Way Audio
Hearing Health &amp; Activity Tracking
Fall Alert &amp; Balance Assessment
Reminders &amp; Self Check
Tap Control
TeleHear full remote fit
REM Target Match
Demo Stream
DNN 
360*
 WIRELESS
Adaptive  
Directionality 
&amp;
Motion-based  
Optimization
Adaptive  
Directionality
17
16
Sense
Adapt
Control
Features noted above in blue are available within My Starkey app.</t>
  </si>
  <si>
    <t>[Document: Omega AI+ (Omega AI) ITC R In-The-Canal Rechargeable - technical data sheet | page 1]
*Results will vary based on wireless usage.
Hearing Level in dB (HL)
Frequency (Hz)
Fitting Range
0
10
20
30
40
50
60
70
80
90
100
110
120
250
500
1K
2K
8K
4K
Omega AI+ 24 | 20 | 16
Matrices: L, M, P, UP
L
M
P
UP
Measurement
ANSI/IEC 2cc 
Coupler
ANSI/IEC 2cc 
Coupler
ANSI/IEC 2cc 
Coupler
ANSI/IEC 2cc 
Coupler
Peak OSPL90 (dB SPL)
110
114
117
125
HFA OSPL90 (dB SPL)
105
109
113
122
Peak Gain (dB)
40
50
59
68
HFA Full-On Gain (dB)
36
46
55
63
Frequency Range (Hz)
&lt;100-9600
&lt;100-8400
&lt;100-6600
&lt;100-5300
HFA Frequencies (kHz)
1.0,1.6,2.5
1.0,1.6,2.5
1.0,1.6,2.5
1.0,1.6,2.5
Reference Test Gain (dB)
28
32
36
45
Equivalent Input Noise (dB SPL) 
Expansion On (Default)
15
15
15
15
Equivalent Input Noise (dB SPL) 
Expansion Off
25
25
25
25
Harmonic Distortion
500 Hz (%)
&lt;3
&lt;3
&lt;3
&lt;3
800 Hz (%)
&lt;3</t>
  </si>
  <si>
    <t>[Document: Starkey Technical Product Handbook, Fall 2026 (Omega AI+) | page 9]
so patients can choose the best option for their lifestyle. 
HOW IT HELPS
DNN 
Directionality
Omnidirectional
Tech Tiers | Channels | Bands 
 24
 20
 16
Edge Mode
Always-on, Automatic, User Control
Personalization
App Control
Speech Optimization
 INDUSTRY FIRST DNN Dual Compressor 
Maximum
Mild
Mild
   Sound Manager
 NOW IN CUSTOMS 
DNN Directionality
 NOW IN CUSTOMS 
DNN Spatial Awareness
Quiet
Maximum expansion
Moderate expansion
Mild expansion
Machine Noise Reduction
Up to 22 dB of reduction
Up to 12 dB of reduction
Up to 7 dB of reduction
Speech in Noise Reduction
Up to 22 dB of reduction
Up to 10 dB of reduction
Up to 8 dB of reduction
Transient Noise Reduction
Up to 15 dB of reduction
Up to 9 dB of reduction
Up to 6 dB of reduction
Wind Reduction</t>
  </si>
  <si>
    <t>[Document: Omega AI+ (Omega AI) RIC 312 Receiver-In-Canal - technical data sheet | page 2]
43
49
60
67
HFA Full-On Gain (dB)
36
47
56
64
Frequency Range (Hz)
&lt;100-9400
&lt;100-9400
&lt;100-9400
&lt;100-5800
HFA Frequencies (kHz)
1.0, 1.6, 2.5
1.0, 1.6, 2.5
1.0, 1.6, 2.5
1.0, 1.6, 2.5
Reference Test Gain (dB)
24
36
39
45
Equivalent Input Noise (dB SPL) 
Expansion On (Default)
15
15
15
15
Equivalent Input Noise (dB SPL) 
Expansion Off
24
24
24
24
Harmonic Distortion
500 Hz (%)
&lt;3
&lt;3
&lt;3
&lt;3
800 Hz (%)
&lt;3
&lt;3
&lt;3
&lt;3
1600 Hz (%)
&lt;3
&lt;3
&lt;3
&lt;3
Induction Coil Sensitivity
HFA SPLITS (ANSI) (dB SPL)
N/A
N/A
N/A
N/A
MASL (IEC) (dB SPL)
N/A
N/A
N/A
N/A
Estimated Battery Life for 
16-Hour Day
Without streaming (days)
Up to 6
Up to 6
Up to 6
Up to 6
With streaming (days)
Up to 5
Up to 5
Up to 5
Up to 5
Battery Current (mA)
1.5
1.6
1.6
1.7
0
10
20
30
40
50
60
70
80
90
100
110
250
500
1K
2K
8K
4K
UP</t>
  </si>
  <si>
    <t>[Document: Starkey Technical Product Handbook, Fall 2026 (Omega AI+) | page 17]
Balance Builder
Balance Builder offers guided balance exercises and uses onboard sensors  
to track movements and generate trend.
Respiratory Rate
Respiratory Rate monitoring automatically measures and displays the user’s 
respiration rate in breaths per minute (BPM) when the user is at rest.
Gen AI Smart Assistant
Generative AI-powered Smart Assistant with enhanced context awareness  
and more natural responses.
Self Check
Runs a self-diagnostic on the microphone, processor, and receiver via Pro Fit  
or the mobile app, with a report and troubleshooting steps if needed.
Fall Alert
Once enabled, Fall Alert uses the sensors onboard the hearing aid to 
automatically detect a fall and alert emergency contacts via text message.
Balance Assessment</t>
  </si>
  <si>
    <t>[Document: Starkey Technical Product Handbook, Fall 2026 (Omega AI+) | page 3]
System to tailor compression adjustments for clear conversations and better  
sound quality. An improved Edge Mode incorporates model updates to the DNN 
Noise reduction for better aided signal-to-noise ratio in complex listening situations 
– enable it when needed or start the day with it, with the new always-on Edge Mode 
functionality all without compromising battery life.
Traditional 
Algorithm
Time
Performance
BREAKTHROUGH
QUAD DNN ARCHITECTURE. 
INNOVATION UNMATCHED.
5
4</t>
  </si>
  <si>
    <t>Health_and_Wellness_Feature_Summary.pdf</t>
  </si>
  <si>
    <t>[Document: Health and Wellness feature summary (Omega AI &amp; Edge AI), Nov 2025 | page 1]
Beyond hearing health: Hearing aids designed for 
improved well-being and easier everyday living
Where to find it
Health and Wellness Feature Options
Respiratory Rate* NEW
Displays respiratory rate in standard breaths per minute (BPM). Measurement is collected
when the patient has been still for 3 minutes.
Balance Builder* NEW
Exercises designed to help work on different elements of balance to prevent falls
before they happen.
Balance Assessment
A self-guided screening for fall risk that evaluates the patient’s balance, gait, and strength.
Fall Alert
Notifies a caregiver, family member, or close friend when a fall is detected, helping the
patient feel secure and supported.
Step Count
Tracks step count throughout the day. Steps counted can be from walking, running,</t>
  </si>
  <si>
    <t>[Document: Starkey Technical Product Handbook, Fall 2026 (Omega AI+) | page 16]
benefit using Edge Mode compared to participants with unaided 
QuickSIN scores &lt;7 dB (normal to mild SNR loss)15. 
50
40
30
20
10
0
-10
-20
X
X
0.8
11.7
Difference in Speech 
Intelligibility Scores  
(enhance speech- personal)
QuickSIN ≤ 7 dB
QuickSIN &gt; 7 dB
Enjoy greater comfort
• Reduce Noise has been shown to significantly improve listening comfort compared to Personal program alone16.​
Listen with less effort
• Enhance Speech significantly lowers listening effort ratings vs. Best Sound or Personal program16.​
Optimized for Noise
• Reduce Noise offers a significant SNR improvement over the Personal program​16.
• Best Sound offers 2 dB SNR improvement vs. Personal program16.​
31
30
Sense
Adapt
Control</t>
  </si>
  <si>
    <t>[Document: Starkey Technical Product Handbook, Fall 2026 (Omega AI+) | page 16]
when compared to the default settings. Edge Mode may also provide larger benefits for patients 
with QuickSIN scores &gt; 7 dB (moderate to severe SNR loss) compared to those with QuickSIN 
scores &lt; 7 dB (normal to mild SNR loss)16, 17.
Edge Mode incorporates an updated DNN-powered noise reduction model, demonstrating 
better signal-to-noise performance on average, compared to other flagship brands with  
DNN processing evaluated18.
15.   Fabry, D. &amp; Burns, T. (2020) Edge Mode: Unmasking Benefits for Hearing Aid Users in Difficult Listening Environments.  
Starkey white paper.
16.   Halvorsen, S., Liu, J., Xu, J. &amp; Marquardt, D. (2026). Edge Mode Evolution: Clinical Evidence for DNN-Enhanced Listening 
Comfort and User Preference. Starkey white paper.</t>
  </si>
  <si>
    <t>LE_Audio_Feature_Summary_-_O.pdf</t>
  </si>
  <si>
    <t>[Document: Bluetooth LE Audio and Auracast feature summary (Omega AI &amp; Edge AI), Feb 2026 | page 1]
bounds easier thanks to Auracast broadcast streaming. Auracast 
streaming functions with three system pieces: Auracast transmitter, 
Auracast assistant, and Auracast receiver. When a user wants to join 
an Auracast broadcast (e.g., television or computer) they must first 
access their Auracast assistant (typically their smartphone) and 
select the broadcast they wish to listen to, similar to how a Wi-Fi 
network is selected. Once chosen, the broadcast will stream to the 
Auracast receiver, i.e., their hearing aids. (Continued on next page)
Bluetooth LE Audio
The next generation of connectivity has arrived.
Where to find it
Omega AI &amp; Edge AI
All wireless styles
and tech tiers
Auracast Figure Mark
You may see this Auracast 
symbol to identify when Auracast 
streaming is available.</t>
  </si>
  <si>
    <t>[Document: Bluetooth LE Audio and Auracast feature summary (Omega AI &amp; Edge AI), Feb 2026 | page 1]
Auracast Figure Mark
You may see this Auracast 
symbol to identify when Auracast 
streaming is available.
Your hearing aid connects seamlessly with the world around you —
now compatible with Bluetooth LE Audio and Auracast.
Tell your patients
 ENHANCED</t>
  </si>
  <si>
    <t>[Document: Bluetooth LE Audio and Auracast feature summary (Omega AI &amp; Edge AI), Feb 2026 | page 2]
https://www.starkeypro.com/continue-learning/research-and-publications
Transmitter
(TV, laptop, StarLink Edge TV Streamer)
Assistant
(smartphone)
Receiver
(hearing aid)
NEW</t>
  </si>
  <si>
    <t>[Document: Bluetooth LE Audio and Auracast feature summary (Omega AI &amp; Edge AI), Feb 2026 | page 2]
Auracast assistant helps ensure more users can access and stream Auracast broadcasts with ease.
The result is a more accessible and seamless streaming experience.
The Bluetooth® word mark and logos are registered trademarks owned by Bluetooth SIG, Inc. The Auracast™ word mark and logos are trademarks owned by the Bluetooth SIG.
Any use of such marks by Starkey is under license. Other trademarks and trade names are those of their respective owners. 
Starkey logo, Starkey, StarLink, Starkey Edge and Omega are trademarks of Starkey Laboratories, Inc. ©2026 Starkey Laboratories, Inc. All Rights Reserved.   2/26   FLYR4245-02-EN-ST
Read more on the latest research on Starkey’s products here: 
https://www.starkeypro.com/continue-learning/research-and-publications
Transmitter</t>
  </si>
  <si>
    <t>Setting</t>
  </si>
  <si>
    <t>Value</t>
  </si>
  <si>
    <t>Run time</t>
  </si>
  <si>
    <t>2026-10-25 13:35</t>
  </si>
  <si>
    <t>Chat deployment</t>
  </si>
  <si>
    <t>gpt-6-luna</t>
  </si>
  <si>
    <t>Embeddings</t>
  </si>
  <si>
    <t>BAAI/bge-small-en-v1.5</t>
  </si>
  <si>
    <t>Chunk size</t>
  </si>
  <si>
    <t>Chunk overlap</t>
  </si>
  <si>
    <t>Title prefix on chunks</t>
  </si>
  <si>
    <t>Top k</t>
  </si>
  <si>
    <t>Chunks indexed</t>
  </si>
  <si>
    <t>PDFs</t>
  </si>
  <si>
    <t>DNN_360_Feature_Summary.pdf, Health_and_Wellness_Feature_Summary.pdf, LE_Audio_Feature_Summary_-_O.pdf, Starkey_Accessory_Compatiblity_Guide_-_Fall_26.pdf, Starkey_Omega_AI__Non-Wireless_Tech_Tiers_CIC_R_NW.pdf, Starkey_Omega_AI__Non-Wireless_Tech_Tiers_IIC_NW.pdf, Starkey_Omega_AI__Wireless_Tech_Tiers_ITC_R.pdf, Starkey_Omega_AI__Wireless_Tech_Tiers_mRIC_R_LED.pdf, Starkey_Omega_AI__Wireless_Tech_Tiers_RIC_312.pdf, Starkey_Technical_Product_Handbook.pdf</t>
  </si>
  <si>
    <t>Baseline run</t>
  </si>
  <si>
    <t>RAG failed to retrieve the information even though it is available in the corpus. The IIC NW page was retrieved, but the battery row (10 Zinc Air, up to 7 days) sat in a chunk that was not. Baseline got the battery type right but the duration wrong.</t>
  </si>
  <si>
    <t>Baseline failed to provide an answer, likely because this product is not in the model's training data. RAG cited the Custom Cased page (p. 2), which lists the same P value (120), so the answer is correct but the citation is to the wrong page.</t>
  </si>
  <si>
    <t>Baseline partially correct since a flat 'No' is right for the standard mRIC R only. RAG answered a flat 'Yes'. The top chunk lists 'Matrices: L, M, P, UP' from the Custom Cased page, but the 'Custom Cased' label fell into a separate chunk, so the answer is faithful to a misleading context</t>
  </si>
  <si>
    <t>The accessory compatibility guide was not retrieved, so RAG correctly abstained. Baseline named the wrong charger generation (Premium Charger 2.0).</t>
  </si>
  <si>
    <t>The retrieved Health &amp; Wellness chunk contains the 'Omega AI &amp; Edge AI' header but not the '*Omega AI Only' footnote, which fell into a separate chunk. As a result, the RAG answer is faithful to that context. Baseline also answered 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</si>
</sst>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1"/>
      <name val="Arial"/>
      <charset val="1"/>
    </font>
    <font>
      <sz val="11"/>
      <name val="Arial"/>
      <charset val="1"/>
    </font>
    <font>
      <i/>
      <sz val="9"/>
      <name val="Arial"/>
      <charset val="1"/>
    </font>
    <font>
      <b/>
      <sz val="10"/>
      <name val="Arial"/>
      <charset val="1"/>
    </font>
    <font>
      <sz val="10"/>
      <name val="Arial"/>
      <charset val="1"/>
    </font>
    <font>
      <b/>
      <sz val="9"/>
      <name val="Arial"/>
      <charset val="1"/>
    </font>
    <font>
      <sz val="9"/>
      <name val="Arial"/>
      <charset val="1"/>
    </font>
  </fonts>
  <fills count="3">
    <fill>
      <patternFill patternType="none"/>
    </fill>
    <fill>
      <patternFill patternType="gray125"/>
    </fill>
    <fill>
      <patternFill patternType="solid">
        <fgColor rgb="FFFFF2CC"/>
        <bgColor rgb="FFFFFFFF"/>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2" fontId="2" fillId="0" borderId="0" xfId="0" applyNumberFormat="1" applyFont="1"/>
    <xf numFmtId="1" fontId="2" fillId="0" borderId="0" xfId="0" applyNumberFormat="1" applyFont="1"/>
    <xf numFmtId="0" fontId="3" fillId="0" borderId="0" xfId="0" applyFont="1"/>
    <xf numFmtId="0" fontId="4" fillId="0" borderId="0" xfId="0" applyFont="1" applyAlignment="1">
      <alignment vertical="top" wrapText="1"/>
    </xf>
    <xf numFmtId="0" fontId="5" fillId="0" borderId="0" xfId="0" applyFont="1" applyAlignment="1">
      <alignment vertical="top" wrapText="1"/>
    </xf>
    <xf numFmtId="0" fontId="5" fillId="2" borderId="0" xfId="0" applyFont="1" applyFill="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0" fillId="0" borderId="0" xfId="0"/>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
  <sheetViews>
    <sheetView zoomScaleNormal="100" workbookViewId="0">
      <selection activeCell="D24" sqref="D24"/>
    </sheetView>
  </sheetViews>
  <sheetFormatPr defaultColWidth="8.7109375" defaultRowHeight="15" x14ac:dyDescent="0.25"/>
  <cols>
    <col min="1" max="1" width="42" customWidth="1"/>
    <col min="2" max="2" width="12" customWidth="1"/>
  </cols>
  <sheetData>
    <row r="1" spans="1:2" x14ac:dyDescent="0.25">
      <c r="A1" s="1" t="s">
        <v>0</v>
      </c>
    </row>
    <row r="2" spans="1:2" x14ac:dyDescent="0.25">
      <c r="A2" s="2" t="s">
        <v>1</v>
      </c>
      <c r="B2" s="3">
        <f>IFERROR(AVERAGE(Results!$G$2:$G$10),"")</f>
        <v>0.3125</v>
      </c>
    </row>
    <row r="3" spans="1:2" x14ac:dyDescent="0.25">
      <c r="A3" s="2" t="s">
        <v>2</v>
      </c>
      <c r="B3" s="3">
        <f>IFERROR(AVERAGE(Results!$I$2:$I$10),"")</f>
        <v>0.875</v>
      </c>
    </row>
    <row r="4" spans="1:2" x14ac:dyDescent="0.25">
      <c r="A4" s="2" t="s">
        <v>3</v>
      </c>
      <c r="B4" s="3">
        <f>IFERROR(AVERAGE(Results!$H$2:$H$10),"")</f>
        <v>0.875</v>
      </c>
    </row>
    <row r="5" spans="1:2" x14ac:dyDescent="0.25">
      <c r="A5" s="2" t="s">
        <v>4</v>
      </c>
      <c r="B5" s="3">
        <f>IFERROR(AVERAGE(Results!$J$2:$J$10),"")</f>
        <v>0.875</v>
      </c>
    </row>
    <row r="6" spans="1:2" x14ac:dyDescent="0.25">
      <c r="A6" s="2" t="s">
        <v>5</v>
      </c>
      <c r="B6" s="3">
        <f>IFERROR(COUNTIF(Results!$Q$2:$Q$10,"Y")/(COUNTIF(Results!$Q$2:$Q$10,"Y")+COUNTIF(Results!$Q$2:$Q$10,"N")),"")</f>
        <v>0.5</v>
      </c>
    </row>
    <row r="7" spans="1:2" x14ac:dyDescent="0.25">
      <c r="A7" s="1" t="s">
        <v>6</v>
      </c>
    </row>
    <row r="8" spans="1:2" x14ac:dyDescent="0.25">
      <c r="A8" s="2" t="s">
        <v>7</v>
      </c>
      <c r="B8" s="3">
        <f>IFERROR(AVERAGE(Results!$L$2:$L$10),"")</f>
        <v>1.1111111111111112</v>
      </c>
    </row>
    <row r="9" spans="1:2" x14ac:dyDescent="0.25">
      <c r="A9" s="2" t="s">
        <v>8</v>
      </c>
      <c r="B9" s="4">
        <f>COUNTIF(Results!$L$2:$L$10,2)</f>
        <v>5</v>
      </c>
    </row>
    <row r="10" spans="1:2" x14ac:dyDescent="0.25">
      <c r="A10" s="2" t="s">
        <v>9</v>
      </c>
      <c r="B10" s="3">
        <f>IFERROR(AVERAGE(Results!$N$2:$N$10),"")</f>
        <v>0.66666666666666663</v>
      </c>
    </row>
    <row r="11" spans="1:2" x14ac:dyDescent="0.25">
      <c r="A11" s="2" t="s">
        <v>10</v>
      </c>
      <c r="B11" s="4">
        <f>COUNTIF(Results!$N$2:$N$10,2)</f>
        <v>2</v>
      </c>
    </row>
    <row r="12" spans="1:2" x14ac:dyDescent="0.25">
      <c r="A12" s="2" t="s">
        <v>11</v>
      </c>
      <c r="B12" s="4">
        <f>COUNTIF(Results!$M$2:$M$10,"N")</f>
        <v>0</v>
      </c>
    </row>
    <row r="13" spans="1:2" x14ac:dyDescent="0.25">
      <c r="A13" s="2" t="s">
        <v>12</v>
      </c>
      <c r="B13" s="4">
        <f>COUNTIF(Results!$O$2:$O$10,"Y")</f>
        <v>6</v>
      </c>
    </row>
    <row r="15" spans="1:2" x14ac:dyDescent="0.25">
      <c r="A15" s="5" t="s">
        <v>13</v>
      </c>
    </row>
    <row r="16" spans="1:2" x14ac:dyDescent="0.25">
      <c r="A16" s="5"/>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
  <sheetViews>
    <sheetView tabSelected="1" zoomScaleNormal="100" workbookViewId="0">
      <pane xSplit="2" ySplit="1" topLeftCell="D2" activePane="bottomRight" state="frozen"/>
      <selection pane="topRight" activeCell="C1" sqref="C1"/>
      <selection pane="bottomLeft" activeCell="A4" sqref="A4"/>
      <selection pane="bottomRight" activeCell="P10" sqref="P10"/>
    </sheetView>
  </sheetViews>
  <sheetFormatPr defaultColWidth="8.7109375" defaultRowHeight="15" x14ac:dyDescent="0.25"/>
  <cols>
    <col min="1" max="1" width="6" customWidth="1"/>
    <col min="2" max="3" width="40" customWidth="1"/>
    <col min="4" max="5" width="55" customWidth="1"/>
    <col min="6" max="6" width="50" customWidth="1"/>
    <col min="7" max="16" width="14" customWidth="1"/>
    <col min="17" max="17" width="16" customWidth="1"/>
  </cols>
  <sheetData>
    <row r="1" spans="1:17" ht="38.25" customHeight="1" x14ac:dyDescent="0.25">
      <c r="A1" s="6" t="s">
        <v>14</v>
      </c>
      <c r="B1" s="6" t="s">
        <v>15</v>
      </c>
      <c r="C1" s="6" t="s">
        <v>16</v>
      </c>
      <c r="D1" s="6" t="s">
        <v>17</v>
      </c>
      <c r="E1" s="6" t="s">
        <v>18</v>
      </c>
      <c r="F1" s="6" t="s">
        <v>19</v>
      </c>
      <c r="G1" s="6" t="s">
        <v>20</v>
      </c>
      <c r="H1" s="6" t="s">
        <v>21</v>
      </c>
      <c r="I1" s="6" t="s">
        <v>22</v>
      </c>
      <c r="J1" s="6" t="s">
        <v>4</v>
      </c>
      <c r="K1" s="6" t="s">
        <v>23</v>
      </c>
      <c r="L1" s="6" t="s">
        <v>24</v>
      </c>
      <c r="M1" s="6" t="s">
        <v>25</v>
      </c>
      <c r="N1" s="6" t="s">
        <v>26</v>
      </c>
      <c r="O1" s="6" t="s">
        <v>27</v>
      </c>
      <c r="P1" s="6" t="s">
        <v>28</v>
      </c>
      <c r="Q1" s="6" t="s">
        <v>29</v>
      </c>
    </row>
    <row r="2" spans="1:17" ht="127.5" customHeight="1" x14ac:dyDescent="0.25">
      <c r="A2" s="7" t="s">
        <v>30</v>
      </c>
      <c r="B2" s="7" t="s">
        <v>31</v>
      </c>
      <c r="C2" s="7" t="s">
        <v>32</v>
      </c>
      <c r="D2" s="7" t="s">
        <v>33</v>
      </c>
      <c r="E2" s="7" t="s">
        <v>34</v>
      </c>
      <c r="F2" s="7" t="s">
        <v>35</v>
      </c>
      <c r="G2" s="7">
        <v>0.25</v>
      </c>
      <c r="H2" s="7">
        <v>1</v>
      </c>
      <c r="I2" s="7">
        <v>1</v>
      </c>
      <c r="J2" s="7">
        <v>1</v>
      </c>
      <c r="K2" s="7">
        <v>1.6</v>
      </c>
      <c r="L2" s="8">
        <v>2</v>
      </c>
      <c r="M2" s="8" t="s">
        <v>36</v>
      </c>
      <c r="N2" s="8">
        <v>0</v>
      </c>
      <c r="O2" s="8" t="s">
        <v>36</v>
      </c>
      <c r="P2" s="8" t="s">
        <v>37</v>
      </c>
      <c r="Q2" s="8" t="s">
        <v>36</v>
      </c>
    </row>
    <row r="3" spans="1:17" ht="114.75" customHeight="1" x14ac:dyDescent="0.25">
      <c r="A3" s="7" t="s">
        <v>38</v>
      </c>
      <c r="B3" s="7" t="s">
        <v>39</v>
      </c>
      <c r="C3" s="7" t="s">
        <v>40</v>
      </c>
      <c r="D3" s="7" t="s">
        <v>41</v>
      </c>
      <c r="E3" s="7" t="s">
        <v>42</v>
      </c>
      <c r="F3" s="7" t="s">
        <v>43</v>
      </c>
      <c r="G3" s="7">
        <v>0.25</v>
      </c>
      <c r="H3" s="7">
        <v>1</v>
      </c>
      <c r="I3" s="7">
        <v>0.75</v>
      </c>
      <c r="J3" s="7">
        <v>1</v>
      </c>
      <c r="K3" s="7">
        <v>0.6</v>
      </c>
      <c r="L3" s="8">
        <v>0</v>
      </c>
      <c r="M3" s="8" t="s">
        <v>36</v>
      </c>
      <c r="N3" s="8">
        <v>1</v>
      </c>
      <c r="O3" s="8" t="s">
        <v>36</v>
      </c>
      <c r="P3" s="8" t="s">
        <v>143</v>
      </c>
      <c r="Q3" s="8" t="s">
        <v>44</v>
      </c>
    </row>
    <row r="4" spans="1:17" ht="153" customHeight="1" x14ac:dyDescent="0.25">
      <c r="A4" s="7" t="s">
        <v>45</v>
      </c>
      <c r="B4" s="7" t="s">
        <v>46</v>
      </c>
      <c r="C4" s="7" t="s">
        <v>47</v>
      </c>
      <c r="D4" s="7" t="s">
        <v>48</v>
      </c>
      <c r="E4" s="7" t="s">
        <v>49</v>
      </c>
      <c r="F4" s="7" t="s">
        <v>50</v>
      </c>
      <c r="G4" s="7">
        <v>0.25</v>
      </c>
      <c r="H4" s="7">
        <v>1</v>
      </c>
      <c r="I4" s="7">
        <v>0.75</v>
      </c>
      <c r="J4" s="7">
        <v>1</v>
      </c>
      <c r="K4" s="7">
        <v>1</v>
      </c>
      <c r="L4" s="8">
        <v>2</v>
      </c>
      <c r="M4" s="8" t="s">
        <v>36</v>
      </c>
      <c r="N4" s="8">
        <v>0</v>
      </c>
      <c r="O4" s="8" t="s">
        <v>44</v>
      </c>
      <c r="P4" s="8" t="s">
        <v>144</v>
      </c>
      <c r="Q4" s="8" t="s">
        <v>36</v>
      </c>
    </row>
    <row r="5" spans="1:17" ht="165.75" customHeight="1" x14ac:dyDescent="0.25">
      <c r="A5" s="7" t="s">
        <v>51</v>
      </c>
      <c r="B5" s="7" t="s">
        <v>52</v>
      </c>
      <c r="C5" s="7" t="s">
        <v>53</v>
      </c>
      <c r="D5" s="7" t="s">
        <v>54</v>
      </c>
      <c r="E5" s="7" t="s">
        <v>55</v>
      </c>
      <c r="F5" s="7" t="s">
        <v>56</v>
      </c>
      <c r="G5" s="7">
        <v>0.5</v>
      </c>
      <c r="H5" s="7">
        <v>1</v>
      </c>
      <c r="I5" s="7">
        <v>1</v>
      </c>
      <c r="J5" s="7">
        <v>1</v>
      </c>
      <c r="K5" s="7">
        <v>1</v>
      </c>
      <c r="L5" s="8">
        <v>0</v>
      </c>
      <c r="M5" s="8" t="s">
        <v>36</v>
      </c>
      <c r="N5" s="8">
        <v>1</v>
      </c>
      <c r="O5" s="8" t="s">
        <v>36</v>
      </c>
      <c r="P5" s="8" t="s">
        <v>145</v>
      </c>
      <c r="Q5" s="8" t="s">
        <v>44</v>
      </c>
    </row>
    <row r="6" spans="1:17" ht="89.25" customHeight="1" x14ac:dyDescent="0.25">
      <c r="A6" s="7" t="s">
        <v>57</v>
      </c>
      <c r="B6" s="7" t="s">
        <v>58</v>
      </c>
      <c r="C6" s="7" t="s">
        <v>59</v>
      </c>
      <c r="D6" s="7" t="s">
        <v>60</v>
      </c>
      <c r="E6" s="7" t="s">
        <v>61</v>
      </c>
      <c r="F6" s="7" t="s">
        <v>62</v>
      </c>
      <c r="G6" s="7">
        <v>0.5</v>
      </c>
      <c r="H6" s="7">
        <v>1</v>
      </c>
      <c r="I6" s="7">
        <v>1</v>
      </c>
      <c r="J6" s="7">
        <v>1</v>
      </c>
      <c r="K6" s="7">
        <v>1.7</v>
      </c>
      <c r="L6" s="8">
        <v>2</v>
      </c>
      <c r="M6" s="8" t="s">
        <v>36</v>
      </c>
      <c r="N6" s="8">
        <v>0</v>
      </c>
      <c r="O6" s="8" t="s">
        <v>36</v>
      </c>
      <c r="P6" s="8"/>
      <c r="Q6" s="8" t="s">
        <v>36</v>
      </c>
    </row>
    <row r="7" spans="1:17" ht="140.25" customHeight="1" x14ac:dyDescent="0.25">
      <c r="A7" s="7" t="s">
        <v>63</v>
      </c>
      <c r="B7" s="7" t="s">
        <v>64</v>
      </c>
      <c r="C7" s="7" t="s">
        <v>65</v>
      </c>
      <c r="D7" s="7" t="s">
        <v>41</v>
      </c>
      <c r="E7" s="7" t="s">
        <v>66</v>
      </c>
      <c r="F7" s="7" t="s">
        <v>67</v>
      </c>
      <c r="G7" s="7">
        <v>0</v>
      </c>
      <c r="H7" s="7">
        <v>0</v>
      </c>
      <c r="I7" s="7">
        <v>0.5</v>
      </c>
      <c r="J7" s="7">
        <v>0</v>
      </c>
      <c r="K7" s="7">
        <v>0.8</v>
      </c>
      <c r="L7" s="8">
        <v>0</v>
      </c>
      <c r="M7" s="8" t="s">
        <v>36</v>
      </c>
      <c r="N7" s="8">
        <v>0</v>
      </c>
      <c r="O7" s="8" t="s">
        <v>36</v>
      </c>
      <c r="P7" s="8" t="s">
        <v>146</v>
      </c>
      <c r="Q7" s="8" t="s">
        <v>44</v>
      </c>
    </row>
    <row r="8" spans="1:17" ht="51" customHeight="1" x14ac:dyDescent="0.25">
      <c r="A8" s="7" t="s">
        <v>68</v>
      </c>
      <c r="B8" s="7" t="s">
        <v>69</v>
      </c>
      <c r="C8" s="7" t="s">
        <v>70</v>
      </c>
      <c r="D8" s="7" t="s">
        <v>71</v>
      </c>
      <c r="E8" s="7" t="s">
        <v>72</v>
      </c>
      <c r="F8" s="7" t="s">
        <v>73</v>
      </c>
      <c r="G8" s="7">
        <v>0.25</v>
      </c>
      <c r="H8" s="7">
        <v>1</v>
      </c>
      <c r="I8" s="7">
        <v>1</v>
      </c>
      <c r="J8" s="7">
        <v>1</v>
      </c>
      <c r="K8" s="7">
        <v>1</v>
      </c>
      <c r="L8" s="8">
        <v>0</v>
      </c>
      <c r="M8" s="8" t="s">
        <v>36</v>
      </c>
      <c r="N8" s="8">
        <v>0</v>
      </c>
      <c r="O8" s="8" t="s">
        <v>36</v>
      </c>
      <c r="P8" s="8" t="s">
        <v>147</v>
      </c>
      <c r="Q8" s="8" t="s">
        <v>44</v>
      </c>
    </row>
    <row r="9" spans="1:17" ht="89.25" customHeight="1" x14ac:dyDescent="0.25">
      <c r="A9" s="7" t="s">
        <v>74</v>
      </c>
      <c r="B9" s="7" t="s">
        <v>75</v>
      </c>
      <c r="C9" s="7" t="s">
        <v>76</v>
      </c>
      <c r="D9" s="7" t="s">
        <v>77</v>
      </c>
      <c r="E9" s="7" t="s">
        <v>78</v>
      </c>
      <c r="F9" s="7" t="s">
        <v>79</v>
      </c>
      <c r="G9" s="7">
        <v>0.5</v>
      </c>
      <c r="H9" s="7">
        <v>1</v>
      </c>
      <c r="I9" s="7">
        <v>1</v>
      </c>
      <c r="J9" s="7">
        <v>1</v>
      </c>
      <c r="K9" s="7">
        <v>0.9</v>
      </c>
      <c r="L9" s="8">
        <v>2</v>
      </c>
      <c r="M9" s="8" t="s">
        <v>36</v>
      </c>
      <c r="N9" s="8">
        <v>2</v>
      </c>
      <c r="O9" s="8" t="s">
        <v>44</v>
      </c>
      <c r="P9" s="8"/>
      <c r="Q9" s="8" t="s">
        <v>36</v>
      </c>
    </row>
    <row r="10" spans="1:17" ht="51" customHeight="1" x14ac:dyDescent="0.25">
      <c r="A10" s="7" t="s">
        <v>80</v>
      </c>
      <c r="B10" s="7" t="s">
        <v>81</v>
      </c>
      <c r="C10" s="7" t="s">
        <v>82</v>
      </c>
      <c r="D10" s="7" t="s">
        <v>41</v>
      </c>
      <c r="E10" s="7" t="s">
        <v>83</v>
      </c>
      <c r="F10" s="7" t="s">
        <v>84</v>
      </c>
      <c r="G10" s="7"/>
      <c r="H10" s="7"/>
      <c r="I10" s="7"/>
      <c r="J10" s="7"/>
      <c r="K10" s="7">
        <v>0.9</v>
      </c>
      <c r="L10" s="8">
        <v>2</v>
      </c>
      <c r="M10" s="8" t="s">
        <v>36</v>
      </c>
      <c r="N10" s="8">
        <v>2</v>
      </c>
      <c r="O10" s="8" t="s">
        <v>44</v>
      </c>
      <c r="P10" s="8"/>
      <c r="Q10" s="8" t="s">
        <v>85</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7"/>
  <sheetViews>
    <sheetView topLeftCell="A7" zoomScaleNormal="100" workbookViewId="0">
      <selection activeCell="G8" sqref="G8"/>
    </sheetView>
  </sheetViews>
  <sheetFormatPr defaultColWidth="8.7109375" defaultRowHeight="15" x14ac:dyDescent="0.25"/>
  <cols>
    <col min="1" max="2" width="6" customWidth="1"/>
    <col min="3" max="3" width="45" customWidth="1"/>
    <col min="4" max="4" width="9" customWidth="1"/>
    <col min="5" max="5" width="10" customWidth="1"/>
    <col min="6" max="6" width="9" customWidth="1"/>
    <col min="7" max="7" width="90" customWidth="1"/>
  </cols>
  <sheetData>
    <row r="1" spans="1:7" x14ac:dyDescent="0.25">
      <c r="A1" s="9" t="s">
        <v>14</v>
      </c>
      <c r="B1" s="9" t="s">
        <v>86</v>
      </c>
      <c r="C1" s="9" t="s">
        <v>87</v>
      </c>
      <c r="D1" s="9" t="s">
        <v>88</v>
      </c>
      <c r="E1" s="9" t="s">
        <v>89</v>
      </c>
      <c r="F1" s="9" t="s">
        <v>90</v>
      </c>
      <c r="G1" s="9" t="s">
        <v>91</v>
      </c>
    </row>
    <row r="2" spans="1:7" ht="409.5" customHeight="1" x14ac:dyDescent="0.25">
      <c r="A2" s="10" t="s">
        <v>30</v>
      </c>
      <c r="B2" s="10">
        <v>1</v>
      </c>
      <c r="C2" s="10" t="s">
        <v>92</v>
      </c>
      <c r="D2" s="10">
        <v>1</v>
      </c>
      <c r="E2" s="10">
        <v>0.35820000000000002</v>
      </c>
      <c r="F2" s="10" t="s">
        <v>36</v>
      </c>
      <c r="G2" s="10" t="s">
        <v>93</v>
      </c>
    </row>
    <row r="3" spans="1:7" ht="409.5" customHeight="1" x14ac:dyDescent="0.25">
      <c r="A3" s="10" t="s">
        <v>30</v>
      </c>
      <c r="B3" s="10">
        <v>2</v>
      </c>
      <c r="C3" s="10" t="s">
        <v>94</v>
      </c>
      <c r="D3" s="10">
        <v>2</v>
      </c>
      <c r="E3" s="10">
        <v>0.44359999999999999</v>
      </c>
      <c r="F3" s="10"/>
      <c r="G3" s="10" t="s">
        <v>95</v>
      </c>
    </row>
    <row r="4" spans="1:7" ht="409.5" customHeight="1" x14ac:dyDescent="0.25">
      <c r="A4" s="10" t="s">
        <v>30</v>
      </c>
      <c r="B4" s="10">
        <v>3</v>
      </c>
      <c r="C4" s="10" t="s">
        <v>96</v>
      </c>
      <c r="D4" s="10">
        <v>1</v>
      </c>
      <c r="E4" s="10">
        <v>0.48359999999999997</v>
      </c>
      <c r="F4" s="10"/>
      <c r="G4" s="10" t="s">
        <v>97</v>
      </c>
    </row>
    <row r="5" spans="1:7" ht="409.5" customHeight="1" x14ac:dyDescent="0.25">
      <c r="A5" s="10" t="s">
        <v>30</v>
      </c>
      <c r="B5" s="10">
        <v>4</v>
      </c>
      <c r="C5" s="10" t="s">
        <v>92</v>
      </c>
      <c r="D5" s="10">
        <v>2</v>
      </c>
      <c r="E5" s="10">
        <v>0.48620000000000002</v>
      </c>
      <c r="F5" s="10"/>
      <c r="G5" s="10" t="s">
        <v>98</v>
      </c>
    </row>
    <row r="6" spans="1:7" ht="409.5" customHeight="1" x14ac:dyDescent="0.25">
      <c r="A6" s="10" t="s">
        <v>38</v>
      </c>
      <c r="B6" s="10">
        <v>1</v>
      </c>
      <c r="C6" s="10" t="s">
        <v>92</v>
      </c>
      <c r="D6" s="10">
        <v>1</v>
      </c>
      <c r="E6" s="10">
        <v>0.45810000000000001</v>
      </c>
      <c r="F6" s="10"/>
      <c r="G6" s="10" t="s">
        <v>93</v>
      </c>
    </row>
    <row r="7" spans="1:7" ht="409.5" customHeight="1" x14ac:dyDescent="0.25">
      <c r="A7" s="10" t="s">
        <v>38</v>
      </c>
      <c r="B7" s="10">
        <v>2</v>
      </c>
      <c r="C7" s="10" t="s">
        <v>99</v>
      </c>
      <c r="D7" s="10">
        <v>1</v>
      </c>
      <c r="E7" s="10">
        <v>0.48309999999999997</v>
      </c>
      <c r="F7" s="10"/>
      <c r="G7" s="10" t="s">
        <v>100</v>
      </c>
    </row>
    <row r="8" spans="1:7" ht="409.5" customHeight="1" x14ac:dyDescent="0.25">
      <c r="A8" s="10" t="s">
        <v>38</v>
      </c>
      <c r="B8" s="10">
        <v>3</v>
      </c>
      <c r="C8" s="10" t="s">
        <v>101</v>
      </c>
      <c r="D8" s="10">
        <v>1</v>
      </c>
      <c r="E8" s="10">
        <v>0.49990000000000001</v>
      </c>
      <c r="F8" s="10" t="s">
        <v>36</v>
      </c>
      <c r="G8" s="10" t="s">
        <v>102</v>
      </c>
    </row>
    <row r="9" spans="1:7" ht="409.5" customHeight="1" x14ac:dyDescent="0.25">
      <c r="A9" s="10" t="s">
        <v>38</v>
      </c>
      <c r="B9" s="10">
        <v>4</v>
      </c>
      <c r="C9" s="10" t="s">
        <v>94</v>
      </c>
      <c r="D9" s="10">
        <v>2</v>
      </c>
      <c r="E9" s="10">
        <v>0.51390000000000002</v>
      </c>
      <c r="F9" s="10"/>
      <c r="G9" s="10" t="s">
        <v>95</v>
      </c>
    </row>
    <row r="10" spans="1:7" ht="108" customHeight="1" x14ac:dyDescent="0.25">
      <c r="A10" s="10" t="s">
        <v>45</v>
      </c>
      <c r="B10" s="10">
        <v>1</v>
      </c>
      <c r="C10" s="10" t="s">
        <v>96</v>
      </c>
      <c r="D10" s="10">
        <v>2</v>
      </c>
      <c r="E10" s="10">
        <v>0.51219999999999999</v>
      </c>
      <c r="F10" s="10"/>
      <c r="G10" s="10" t="s">
        <v>103</v>
      </c>
    </row>
    <row r="11" spans="1:7" ht="409.5" customHeight="1" x14ac:dyDescent="0.25">
      <c r="A11" s="10" t="s">
        <v>45</v>
      </c>
      <c r="B11" s="10">
        <v>2</v>
      </c>
      <c r="C11" s="10" t="s">
        <v>96</v>
      </c>
      <c r="D11" s="10">
        <v>1</v>
      </c>
      <c r="E11" s="10">
        <v>0.52810000000000001</v>
      </c>
      <c r="F11" s="10" t="s">
        <v>36</v>
      </c>
      <c r="G11" s="10" t="s">
        <v>104</v>
      </c>
    </row>
    <row r="12" spans="1:7" ht="409.5" customHeight="1" x14ac:dyDescent="0.25">
      <c r="A12" s="10" t="s">
        <v>45</v>
      </c>
      <c r="B12" s="10">
        <v>3</v>
      </c>
      <c r="C12" s="10" t="s">
        <v>96</v>
      </c>
      <c r="D12" s="10">
        <v>2</v>
      </c>
      <c r="E12" s="10">
        <v>0.53949999999999998</v>
      </c>
      <c r="F12" s="10"/>
      <c r="G12" s="10" t="s">
        <v>105</v>
      </c>
    </row>
    <row r="13" spans="1:7" ht="409.5" customHeight="1" x14ac:dyDescent="0.25">
      <c r="A13" s="10" t="s">
        <v>45</v>
      </c>
      <c r="B13" s="10">
        <v>4</v>
      </c>
      <c r="C13" s="10" t="s">
        <v>96</v>
      </c>
      <c r="D13" s="10">
        <v>3</v>
      </c>
      <c r="E13" s="10">
        <v>0.54249999999999998</v>
      </c>
      <c r="F13" s="10"/>
      <c r="G13" s="10" t="s">
        <v>106</v>
      </c>
    </row>
    <row r="14" spans="1:7" ht="409.5" customHeight="1" x14ac:dyDescent="0.25">
      <c r="A14" s="10" t="s">
        <v>51</v>
      </c>
      <c r="B14" s="10">
        <v>1</v>
      </c>
      <c r="C14" s="10" t="s">
        <v>94</v>
      </c>
      <c r="D14" s="10">
        <v>2</v>
      </c>
      <c r="E14" s="10">
        <v>0.51039999999999996</v>
      </c>
      <c r="F14" s="10" t="s">
        <v>36</v>
      </c>
      <c r="G14" s="10" t="s">
        <v>107</v>
      </c>
    </row>
    <row r="15" spans="1:7" ht="409.5" customHeight="1" x14ac:dyDescent="0.25">
      <c r="A15" s="10" t="s">
        <v>51</v>
      </c>
      <c r="B15" s="10">
        <v>2</v>
      </c>
      <c r="C15" s="10" t="s">
        <v>94</v>
      </c>
      <c r="D15" s="10">
        <v>3</v>
      </c>
      <c r="E15" s="10">
        <v>0.52510000000000001</v>
      </c>
      <c r="F15" s="10"/>
      <c r="G15" s="10" t="s">
        <v>108</v>
      </c>
    </row>
    <row r="16" spans="1:7" ht="409.5" customHeight="1" x14ac:dyDescent="0.25">
      <c r="A16" s="10" t="s">
        <v>51</v>
      </c>
      <c r="B16" s="10">
        <v>3</v>
      </c>
      <c r="C16" s="10" t="s">
        <v>94</v>
      </c>
      <c r="D16" s="10">
        <v>1</v>
      </c>
      <c r="E16" s="10">
        <v>0.52769999999999995</v>
      </c>
      <c r="F16" s="10" t="s">
        <v>36</v>
      </c>
      <c r="G16" s="10" t="s">
        <v>109</v>
      </c>
    </row>
    <row r="17" spans="1:7" ht="409.5" customHeight="1" x14ac:dyDescent="0.25">
      <c r="A17" s="10" t="s">
        <v>51</v>
      </c>
      <c r="B17" s="10">
        <v>4</v>
      </c>
      <c r="C17" s="10" t="s">
        <v>94</v>
      </c>
      <c r="D17" s="10">
        <v>3</v>
      </c>
      <c r="E17" s="10">
        <v>0.53820000000000001</v>
      </c>
      <c r="F17" s="10"/>
      <c r="G17" s="10" t="s">
        <v>110</v>
      </c>
    </row>
    <row r="18" spans="1:7" ht="409.5" customHeight="1" x14ac:dyDescent="0.25">
      <c r="A18" s="10" t="s">
        <v>57</v>
      </c>
      <c r="B18" s="10">
        <v>1</v>
      </c>
      <c r="C18" s="10" t="s">
        <v>111</v>
      </c>
      <c r="D18" s="10">
        <v>9</v>
      </c>
      <c r="E18" s="10">
        <v>0.47399999999999998</v>
      </c>
      <c r="F18" s="10" t="s">
        <v>36</v>
      </c>
      <c r="G18" s="10" t="s">
        <v>112</v>
      </c>
    </row>
    <row r="19" spans="1:7" ht="409.5" customHeight="1" x14ac:dyDescent="0.25">
      <c r="A19" s="10" t="s">
        <v>57</v>
      </c>
      <c r="B19" s="10">
        <v>2</v>
      </c>
      <c r="C19" s="10" t="s">
        <v>92</v>
      </c>
      <c r="D19" s="10">
        <v>1</v>
      </c>
      <c r="E19" s="10">
        <v>0.51319999999999999</v>
      </c>
      <c r="F19" s="10"/>
      <c r="G19" s="10" t="s">
        <v>113</v>
      </c>
    </row>
    <row r="20" spans="1:7" ht="409.5" customHeight="1" x14ac:dyDescent="0.25">
      <c r="A20" s="10" t="s">
        <v>57</v>
      </c>
      <c r="B20" s="10">
        <v>3</v>
      </c>
      <c r="C20" s="10" t="s">
        <v>111</v>
      </c>
      <c r="D20" s="10">
        <v>9</v>
      </c>
      <c r="E20" s="10">
        <v>0.52549999999999997</v>
      </c>
      <c r="F20" s="10" t="s">
        <v>36</v>
      </c>
      <c r="G20" s="10" t="s">
        <v>114</v>
      </c>
    </row>
    <row r="21" spans="1:7" ht="409.5" customHeight="1" x14ac:dyDescent="0.25">
      <c r="A21" s="10" t="s">
        <v>57</v>
      </c>
      <c r="B21" s="10">
        <v>4</v>
      </c>
      <c r="C21" s="10" t="s">
        <v>96</v>
      </c>
      <c r="D21" s="10">
        <v>2</v>
      </c>
      <c r="E21" s="10">
        <v>0.53310000000000002</v>
      </c>
      <c r="F21" s="10"/>
      <c r="G21" s="10" t="s">
        <v>115</v>
      </c>
    </row>
    <row r="22" spans="1:7" ht="409.5" customHeight="1" x14ac:dyDescent="0.25">
      <c r="A22" s="10" t="s">
        <v>63</v>
      </c>
      <c r="B22" s="10">
        <v>1</v>
      </c>
      <c r="C22" s="10" t="s">
        <v>94</v>
      </c>
      <c r="D22" s="10">
        <v>1</v>
      </c>
      <c r="E22" s="10">
        <v>0.53510000000000002</v>
      </c>
      <c r="F22" s="10"/>
      <c r="G22" s="10" t="s">
        <v>109</v>
      </c>
    </row>
    <row r="23" spans="1:7" ht="409.5" customHeight="1" x14ac:dyDescent="0.25">
      <c r="A23" s="10" t="s">
        <v>63</v>
      </c>
      <c r="B23" s="10">
        <v>2</v>
      </c>
      <c r="C23" s="10" t="s">
        <v>94</v>
      </c>
      <c r="D23" s="10">
        <v>2</v>
      </c>
      <c r="E23" s="10">
        <v>0.57830000000000004</v>
      </c>
      <c r="F23" s="10"/>
      <c r="G23" s="10" t="s">
        <v>107</v>
      </c>
    </row>
    <row r="24" spans="1:7" ht="409.5" customHeight="1" x14ac:dyDescent="0.25">
      <c r="A24" s="10" t="s">
        <v>63</v>
      </c>
      <c r="B24" s="10">
        <v>3</v>
      </c>
      <c r="C24" s="10" t="s">
        <v>94</v>
      </c>
      <c r="D24" s="10">
        <v>2</v>
      </c>
      <c r="E24" s="10">
        <v>0.57909999999999995</v>
      </c>
      <c r="F24" s="10"/>
      <c r="G24" s="10" t="s">
        <v>95</v>
      </c>
    </row>
    <row r="25" spans="1:7" ht="409.5" customHeight="1" x14ac:dyDescent="0.25">
      <c r="A25" s="10" t="s">
        <v>63</v>
      </c>
      <c r="B25" s="10">
        <v>4</v>
      </c>
      <c r="C25" s="10" t="s">
        <v>99</v>
      </c>
      <c r="D25" s="10">
        <v>1</v>
      </c>
      <c r="E25" s="10">
        <v>0.58520000000000005</v>
      </c>
      <c r="F25" s="10"/>
      <c r="G25" s="10" t="s">
        <v>100</v>
      </c>
    </row>
    <row r="26" spans="1:7" ht="204" customHeight="1" x14ac:dyDescent="0.25">
      <c r="A26" s="10" t="s">
        <v>68</v>
      </c>
      <c r="B26" s="10">
        <v>1</v>
      </c>
      <c r="C26" s="10" t="s">
        <v>111</v>
      </c>
      <c r="D26" s="10">
        <v>17</v>
      </c>
      <c r="E26" s="10">
        <v>0.55049999999999999</v>
      </c>
      <c r="F26" s="10"/>
      <c r="G26" s="10" t="s">
        <v>116</v>
      </c>
    </row>
    <row r="27" spans="1:7" ht="180" customHeight="1" x14ac:dyDescent="0.25">
      <c r="A27" s="10" t="s">
        <v>68</v>
      </c>
      <c r="B27" s="10">
        <v>2</v>
      </c>
      <c r="C27" s="10" t="s">
        <v>111</v>
      </c>
      <c r="D27" s="10">
        <v>3</v>
      </c>
      <c r="E27" s="10">
        <v>0.57720000000000005</v>
      </c>
      <c r="F27" s="10"/>
      <c r="G27" s="10" t="s">
        <v>117</v>
      </c>
    </row>
    <row r="28" spans="1:7" ht="216" customHeight="1" x14ac:dyDescent="0.25">
      <c r="A28" s="10" t="s">
        <v>68</v>
      </c>
      <c r="B28" s="10">
        <v>3</v>
      </c>
      <c r="C28" s="10" t="s">
        <v>118</v>
      </c>
      <c r="D28" s="10">
        <v>1</v>
      </c>
      <c r="E28" s="10">
        <v>0.62270000000000003</v>
      </c>
      <c r="F28" s="10" t="s">
        <v>36</v>
      </c>
      <c r="G28" s="10" t="s">
        <v>119</v>
      </c>
    </row>
    <row r="29" spans="1:7" ht="396" customHeight="1" x14ac:dyDescent="0.25">
      <c r="A29" s="10" t="s">
        <v>68</v>
      </c>
      <c r="B29" s="10">
        <v>4</v>
      </c>
      <c r="C29" s="10" t="s">
        <v>111</v>
      </c>
      <c r="D29" s="10">
        <v>16</v>
      </c>
      <c r="E29" s="10">
        <v>0.62460000000000004</v>
      </c>
      <c r="F29" s="10"/>
      <c r="G29" s="10" t="s">
        <v>120</v>
      </c>
    </row>
    <row r="30" spans="1:7" ht="396" customHeight="1" x14ac:dyDescent="0.25">
      <c r="A30" s="10" t="s">
        <v>74</v>
      </c>
      <c r="B30" s="10">
        <v>1</v>
      </c>
      <c r="C30" s="10" t="s">
        <v>111</v>
      </c>
      <c r="D30" s="10">
        <v>16</v>
      </c>
      <c r="E30" s="10">
        <v>0.621</v>
      </c>
      <c r="F30" s="10" t="s">
        <v>36</v>
      </c>
      <c r="G30" s="10" t="s">
        <v>120</v>
      </c>
    </row>
    <row r="31" spans="1:7" ht="156" customHeight="1" x14ac:dyDescent="0.25">
      <c r="A31" s="10" t="s">
        <v>74</v>
      </c>
      <c r="B31" s="10">
        <v>2</v>
      </c>
      <c r="C31" s="10" t="s">
        <v>111</v>
      </c>
      <c r="D31" s="10">
        <v>16</v>
      </c>
      <c r="E31" s="10">
        <v>0.72160000000000002</v>
      </c>
      <c r="F31" s="10" t="s">
        <v>36</v>
      </c>
      <c r="G31" s="10" t="s">
        <v>121</v>
      </c>
    </row>
    <row r="32" spans="1:7" ht="409.5" customHeight="1" x14ac:dyDescent="0.25">
      <c r="A32" s="10" t="s">
        <v>74</v>
      </c>
      <c r="B32" s="10">
        <v>3</v>
      </c>
      <c r="C32" s="10" t="s">
        <v>92</v>
      </c>
      <c r="D32" s="10">
        <v>1</v>
      </c>
      <c r="E32" s="10">
        <v>0.81469999999999998</v>
      </c>
      <c r="F32" s="10"/>
      <c r="G32" s="10" t="s">
        <v>113</v>
      </c>
    </row>
    <row r="33" spans="1:7" ht="409.5" customHeight="1" x14ac:dyDescent="0.25">
      <c r="A33" s="10" t="s">
        <v>74</v>
      </c>
      <c r="B33" s="10">
        <v>4</v>
      </c>
      <c r="C33" s="10" t="s">
        <v>94</v>
      </c>
      <c r="D33" s="10">
        <v>3</v>
      </c>
      <c r="E33" s="10">
        <v>0.8347</v>
      </c>
      <c r="F33" s="10"/>
      <c r="G33" s="10" t="s">
        <v>110</v>
      </c>
    </row>
    <row r="34" spans="1:7" ht="228" customHeight="1" x14ac:dyDescent="0.25">
      <c r="A34" s="10" t="s">
        <v>80</v>
      </c>
      <c r="B34" s="10">
        <v>1</v>
      </c>
      <c r="C34" s="10" t="s">
        <v>122</v>
      </c>
      <c r="D34" s="10">
        <v>1</v>
      </c>
      <c r="E34" s="10">
        <v>0.49099999999999999</v>
      </c>
      <c r="F34" s="10"/>
      <c r="G34" s="10" t="s">
        <v>123</v>
      </c>
    </row>
    <row r="35" spans="1:7" ht="108" customHeight="1" x14ac:dyDescent="0.25">
      <c r="A35" s="10" t="s">
        <v>80</v>
      </c>
      <c r="B35" s="10">
        <v>2</v>
      </c>
      <c r="C35" s="10" t="s">
        <v>122</v>
      </c>
      <c r="D35" s="10">
        <v>1</v>
      </c>
      <c r="E35" s="10">
        <v>0.52510000000000001</v>
      </c>
      <c r="F35" s="10"/>
      <c r="G35" s="10" t="s">
        <v>124</v>
      </c>
    </row>
    <row r="36" spans="1:7" ht="108" customHeight="1" x14ac:dyDescent="0.25">
      <c r="A36" s="10" t="s">
        <v>80</v>
      </c>
      <c r="B36" s="10">
        <v>3</v>
      </c>
      <c r="C36" s="10" t="s">
        <v>122</v>
      </c>
      <c r="D36" s="10">
        <v>2</v>
      </c>
      <c r="E36" s="10">
        <v>0.57630000000000003</v>
      </c>
      <c r="F36" s="10"/>
      <c r="G36" s="10" t="s">
        <v>125</v>
      </c>
    </row>
    <row r="37" spans="1:7" ht="144" customHeight="1" x14ac:dyDescent="0.25">
      <c r="A37" s="10" t="s">
        <v>80</v>
      </c>
      <c r="B37" s="10">
        <v>4</v>
      </c>
      <c r="C37" s="10" t="s">
        <v>122</v>
      </c>
      <c r="D37" s="10">
        <v>2</v>
      </c>
      <c r="E37" s="10">
        <v>0.57950000000000002</v>
      </c>
      <c r="F37" s="10"/>
      <c r="G37" s="10" t="s">
        <v>126</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
  <sheetViews>
    <sheetView zoomScaleNormal="100" workbookViewId="0"/>
  </sheetViews>
  <sheetFormatPr defaultColWidth="8.7109375" defaultRowHeight="15" x14ac:dyDescent="0.25"/>
  <cols>
    <col min="1" max="1" width="24" customWidth="1"/>
    <col min="2" max="2" width="100" customWidth="1"/>
  </cols>
  <sheetData>
    <row r="1" spans="1:2" x14ac:dyDescent="0.25">
      <c r="A1" t="s">
        <v>127</v>
      </c>
      <c r="B1" t="s">
        <v>128</v>
      </c>
    </row>
    <row r="2" spans="1:2" x14ac:dyDescent="0.25">
      <c r="A2" t="s">
        <v>129</v>
      </c>
      <c r="B2" t="s">
        <v>130</v>
      </c>
    </row>
    <row r="3" spans="1:2" x14ac:dyDescent="0.25">
      <c r="A3" t="s">
        <v>131</v>
      </c>
      <c r="B3" t="s">
        <v>132</v>
      </c>
    </row>
    <row r="4" spans="1:2" x14ac:dyDescent="0.25">
      <c r="A4" t="s">
        <v>133</v>
      </c>
      <c r="B4" t="s">
        <v>134</v>
      </c>
    </row>
    <row r="5" spans="1:2" x14ac:dyDescent="0.25">
      <c r="A5" t="s">
        <v>135</v>
      </c>
      <c r="B5">
        <v>800</v>
      </c>
    </row>
    <row r="6" spans="1:2" x14ac:dyDescent="0.25">
      <c r="A6" t="s">
        <v>136</v>
      </c>
      <c r="B6">
        <v>120</v>
      </c>
    </row>
    <row r="7" spans="1:2" x14ac:dyDescent="0.25">
      <c r="A7" t="s">
        <v>137</v>
      </c>
      <c r="B7" s="11" t="b">
        <f>TRUE()</f>
        <v>1</v>
      </c>
    </row>
    <row r="8" spans="1:2" x14ac:dyDescent="0.25">
      <c r="A8" t="s">
        <v>138</v>
      </c>
      <c r="B8">
        <v>4</v>
      </c>
    </row>
    <row r="9" spans="1:2" x14ac:dyDescent="0.25">
      <c r="A9" t="s">
        <v>139</v>
      </c>
      <c r="B9">
        <v>116</v>
      </c>
    </row>
    <row r="10" spans="1:2" x14ac:dyDescent="0.25">
      <c r="A10" t="s">
        <v>140</v>
      </c>
      <c r="B10" t="s">
        <v>141</v>
      </c>
    </row>
    <row r="11" spans="1:2" x14ac:dyDescent="0.25">
      <c r="A11" t="s">
        <v>142</v>
      </c>
      <c r="B11" s="11" t="b">
        <f>TRUE()</f>
        <v>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Results</vt:lpstr>
      <vt:lpstr>Retrieved chunks</vt:lpstr>
      <vt:lpstr>Run 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Dan Nguyen</cp:lastModifiedBy>
  <cp:revision>0</cp:revision>
  <dcterms:created xsi:type="dcterms:W3CDTF">2026-10-25T20:35:23Z</dcterms:created>
  <dcterms:modified xsi:type="dcterms:W3CDTF">2026-10-25T21:14:43Z</dcterms:modified>
  <dc:language>en-US</dc:language>
</cp:coreProperties>
</file>